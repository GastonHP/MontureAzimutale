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urrent G11 drive" sheetId="1" r:id="rId4"/>
  </sheets>
</workbook>
</file>

<file path=xl/sharedStrings.xml><?xml version="1.0" encoding="utf-8"?>
<sst xmlns="http://schemas.openxmlformats.org/spreadsheetml/2006/main" uniqueCount="57">
  <si>
    <t xml:space="preserve">                                OnStep Configuration Calculator</t>
  </si>
  <si>
    <t>Version 1.19+</t>
  </si>
  <si>
    <t xml:space="preserve">                             Enter your values in the green areas, results which are outlined have equivalents in OnStep's Config.h file.</t>
  </si>
  <si>
    <t xml:space="preserve">    Limits are in red, OnStep won't function properly if they aren't adhered too.  Other limits are recommendations.  Note that “µs” = micro-seconds.</t>
  </si>
  <si>
    <t xml:space="preserve">          Axis1 is for Right Ascension or Azimuth</t>
  </si>
  <si>
    <t xml:space="preserve">          Axis2 is for Declination or Altitude</t>
  </si>
  <si>
    <t>AXIS1_DRIVER_</t>
  </si>
  <si>
    <t xml:space="preserve">                Gear Reduction</t>
  </si>
  <si>
    <t>Stepper-Steps</t>
  </si>
  <si>
    <t>MICROSTEPS</t>
  </si>
  <si>
    <t>GR1 Ratio</t>
  </si>
  <si>
    <t>GR2 Ratio</t>
  </si>
  <si>
    <t>AXIS1_STEPS_PER_DEGREE</t>
  </si>
  <si>
    <t>AXIS2_STEPS_PER_DEGREE</t>
  </si>
  <si>
    <t>[12,800 to 61,200]</t>
  </si>
  <si>
    <t>AXIS2_DRIVER_</t>
  </si>
  <si>
    <t>A planetary</t>
  </si>
  <si>
    <t>A worm/wheel</t>
  </si>
  <si>
    <t>[ Less than 1500 RPM ]</t>
  </si>
  <si>
    <t>gear-box for</t>
  </si>
  <si>
    <t>for example.</t>
  </si>
  <si>
    <t xml:space="preserve">  Stepper Motor shaft speeds</t>
  </si>
  <si>
    <t>AXIS1_STEPS_PER_WORMROT</t>
  </si>
  <si>
    <t>[Only 16, 32, 64]</t>
  </si>
  <si>
    <t>example.</t>
  </si>
  <si>
    <t>Axis1</t>
  </si>
  <si>
    <t>(RA/Azm)</t>
  </si>
  <si>
    <t>RPM</t>
  </si>
  <si>
    <t>RPS</t>
  </si>
  <si>
    <t xml:space="preserve">   Tracking resolution (in arc-sec)</t>
  </si>
  <si>
    <t>kHz (full step)</t>
  </si>
  <si>
    <t>Calculated</t>
  </si>
  <si>
    <t>Estimate</t>
  </si>
  <si>
    <t>Axis2</t>
  </si>
  <si>
    <t>(Dec/Alt)</t>
  </si>
  <si>
    <t>SLEW_RATE_BASE_DESIRED</t>
  </si>
  <si>
    <t>°/s          Axis1</t>
  </si>
  <si>
    <t>&lt;= 1.25</t>
  </si>
  <si>
    <t xml:space="preserve">Axis2 </t>
  </si>
  <si>
    <t>↓</t>
  </si>
  <si>
    <t>(servo, etc.)</t>
  </si>
  <si>
    <t>(stepper drive)</t>
  </si>
  <si>
    <t xml:space="preserve">Slowest rate w/run-time adjustment </t>
  </si>
  <si>
    <t>µs/step →  2,50°/s slew rate</t>
  </si>
  <si>
    <t xml:space="preserve">Fastest rate w/run-time adjustment </t>
  </si>
  <si>
    <t>µs/step →  10,00°/s slew rate</t>
  </si>
  <si>
    <t>General rate limit* recommendations (in µs/step):</t>
  </si>
  <si>
    <r>
      <rPr>
        <sz val="10"/>
        <color indexed="8"/>
        <rFont val="Arial"/>
      </rPr>
      <t xml:space="preserve">          * = General rate limits are a basis, other factors can </t>
    </r>
    <r>
      <rPr>
        <i val="1"/>
        <sz val="10"/>
        <color indexed="8"/>
        <rFont val="Arial"/>
      </rPr>
      <t>effectively</t>
    </r>
    <r>
      <rPr>
        <sz val="10"/>
        <color indexed="8"/>
        <rFont val="Arial"/>
      </rPr>
      <t xml:space="preserve"> allow higher step rates.</t>
    </r>
  </si>
  <si>
    <t>Mega2560 &gt;= 48, STM32 &gt;= 20, ESP32 &gt;= 16,</t>
  </si>
  <si>
    <r>
      <rPr>
        <sz val="10"/>
        <color indexed="8"/>
        <rFont val="Arial"/>
      </rPr>
      <t xml:space="preserve">          If micro-step mode switching can be used, configuring </t>
    </r>
    <r>
      <rPr>
        <b val="1"/>
        <sz val="10"/>
        <color indexed="8"/>
        <rFont val="Arial"/>
      </rPr>
      <t>AXISn_DRIVER_MICROSTEPS_GOTO</t>
    </r>
  </si>
  <si>
    <t>Teensy3.2 &gt;= 14, T3.5 &gt;= 12, T3.6 &gt;= 2.6, T4.0 &gt;= 1.5</t>
  </si>
  <si>
    <t xml:space="preserve">          allows step rates 2 to 32 times faster, typically (2 to 32 times lower µs/step.)</t>
  </si>
  <si>
    <t>(smaller values are faster, larger values are slower)</t>
  </si>
  <si>
    <r>
      <rPr>
        <sz val="10"/>
        <color indexed="8"/>
        <rFont val="Arial"/>
      </rPr>
      <t xml:space="preserve">          Step signaling defaults to </t>
    </r>
    <r>
      <rPr>
        <b val="1"/>
        <sz val="10"/>
        <color indexed="8"/>
        <rFont val="Arial"/>
      </rPr>
      <t>STEP_WAVE_FORM SQUARE</t>
    </r>
    <r>
      <rPr>
        <sz val="10"/>
        <color indexed="8"/>
        <rFont val="Arial"/>
      </rPr>
      <t xml:space="preserve"> for best compatability with s/d drivers.</t>
    </r>
  </si>
  <si>
    <r>
      <rPr>
        <sz val="10"/>
        <color indexed="8"/>
        <rFont val="Arial"/>
      </rPr>
      <t xml:space="preserve">          Using </t>
    </r>
    <r>
      <rPr>
        <b val="1"/>
        <sz val="10"/>
        <color indexed="8"/>
        <rFont val="Arial"/>
      </rPr>
      <t>STEP_WAVE_FORM PULSE</t>
    </r>
    <r>
      <rPr>
        <sz val="10"/>
        <color indexed="8"/>
        <rFont val="Arial"/>
      </rPr>
      <t xml:space="preserve"> allows step rates 1.6 times faster (1.6 times lower µs/step.)</t>
    </r>
  </si>
  <si>
    <t xml:space="preserve">          </t>
  </si>
  <si>
    <t xml:space="preserve">          OnStep will limit slew rates automatically if they exceed your platform’s capabilities.</t>
  </si>
</sst>
</file>

<file path=xl/styles.xml><?xml version="1.0" encoding="utf-8"?>
<styleSheet xmlns="http://schemas.openxmlformats.org/spreadsheetml/2006/main">
  <numFmts count="5">
    <numFmt numFmtId="0" formatCode="General"/>
    <numFmt numFmtId="59" formatCode="0.0E+00"/>
    <numFmt numFmtId="60" formatCode="0.0"/>
    <numFmt numFmtId="61" formatCode="0.00000"/>
    <numFmt numFmtId="62" formatCode="#,##0.000"/>
  </numFmts>
  <fonts count="10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4"/>
      <color indexed="8"/>
      <name val="Arial"/>
    </font>
    <font>
      <i val="1"/>
      <sz val="10"/>
      <color indexed="8"/>
      <name val="Arial"/>
    </font>
    <font>
      <b val="1"/>
      <sz val="10"/>
      <color indexed="16"/>
      <name val="Arial"/>
    </font>
    <font>
      <sz val="10"/>
      <color indexed="18"/>
      <name val="Arial"/>
    </font>
    <font>
      <sz val="10"/>
      <color indexed="19"/>
      <name val="Arial"/>
    </font>
    <font>
      <sz val="13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7"/>
        <bgColor auto="1"/>
      </patternFill>
    </fill>
  </fills>
  <borders count="2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10"/>
      </left>
      <right style="hair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1" fontId="0" fillId="2" borderId="2" applyNumberFormat="1" applyFont="1" applyFill="1" applyBorder="1" applyAlignment="1" applyProtection="0">
      <alignment vertical="bottom"/>
    </xf>
    <xf numFmtId="1" fontId="3" fillId="2" borderId="2" applyNumberFormat="1" applyFont="1" applyFill="1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horizontal="center" vertical="bottom"/>
    </xf>
    <xf numFmtId="59" fontId="0" fillId="2" borderId="2" applyNumberFormat="1" applyFont="1" applyFill="1" applyBorder="1" applyAlignment="1" applyProtection="0">
      <alignment horizontal="center" vertical="bottom"/>
    </xf>
    <xf numFmtId="60" fontId="0" fillId="2" borderId="2" applyNumberFormat="1" applyFont="1" applyFill="1" applyBorder="1" applyAlignment="1" applyProtection="0">
      <alignment horizontal="center" vertical="bottom"/>
    </xf>
    <xf numFmtId="61" fontId="0" fillId="2" borderId="2" applyNumberFormat="1" applyFont="1" applyFill="1" applyBorder="1" applyAlignment="1" applyProtection="0">
      <alignment horizontal="left" vertical="bottom"/>
    </xf>
    <xf numFmtId="49" fontId="3" fillId="2" borderId="2" applyNumberFormat="1" applyFont="1" applyFill="1" applyBorder="1" applyAlignment="1" applyProtection="0">
      <alignment horizontal="center" vertical="bottom"/>
    </xf>
    <xf numFmtId="60" fontId="0" fillId="2" borderId="3" applyNumberFormat="1" applyFont="1" applyFill="1" applyBorder="1" applyAlignment="1" applyProtection="0">
      <alignment horizontal="center" vertical="bottom"/>
    </xf>
    <xf numFmtId="1" fontId="0" fillId="2" borderId="4" applyNumberFormat="1" applyFont="1" applyFill="1" applyBorder="1" applyAlignment="1" applyProtection="0">
      <alignment vertical="bottom"/>
    </xf>
    <xf numFmtId="1" fontId="0" fillId="2" borderId="5" applyNumberFormat="1" applyFont="1" applyFill="1" applyBorder="1" applyAlignment="1" applyProtection="0">
      <alignment vertical="bottom"/>
    </xf>
    <xf numFmtId="1" fontId="3" fillId="2" borderId="5" applyNumberFormat="1" applyFont="1" applyFill="1" applyBorder="1" applyAlignment="1" applyProtection="0">
      <alignment horizontal="center" vertical="bottom"/>
    </xf>
    <xf numFmtId="1" fontId="4" fillId="2" borderId="5" applyNumberFormat="1" applyFont="1" applyFill="1" applyBorder="1" applyAlignment="1" applyProtection="0">
      <alignment horizontal="center" vertical="bottom"/>
    </xf>
    <xf numFmtId="59" fontId="0" fillId="2" borderId="5" applyNumberFormat="1" applyFont="1" applyFill="1" applyBorder="1" applyAlignment="1" applyProtection="0">
      <alignment horizontal="center" vertical="bottom"/>
    </xf>
    <xf numFmtId="60" fontId="0" fillId="2" borderId="5" applyNumberFormat="1" applyFont="1" applyFill="1" applyBorder="1" applyAlignment="1" applyProtection="0">
      <alignment horizontal="center" vertical="bottom"/>
    </xf>
    <xf numFmtId="61" fontId="0" fillId="2" borderId="5" applyNumberFormat="1" applyFont="1" applyFill="1" applyBorder="1" applyAlignment="1" applyProtection="0">
      <alignment horizontal="left" vertical="bottom"/>
    </xf>
    <xf numFmtId="60" fontId="0" fillId="2" borderId="6" applyNumberFormat="1" applyFont="1" applyFill="1" applyBorder="1" applyAlignment="1" applyProtection="0">
      <alignment horizontal="center" vertical="bottom"/>
    </xf>
    <xf numFmtId="49" fontId="3" fillId="2" borderId="5" applyNumberFormat="1" applyFont="1" applyFill="1" applyBorder="1" applyAlignment="1" applyProtection="0">
      <alignment vertical="bottom"/>
    </xf>
    <xf numFmtId="1" fontId="0" fillId="2" borderId="5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horizontal="center" vertical="bottom"/>
    </xf>
    <xf numFmtId="49" fontId="5" fillId="2" borderId="5" applyNumberFormat="1" applyFont="1" applyFill="1" applyBorder="1" applyAlignment="1" applyProtection="0">
      <alignment vertical="bottom"/>
    </xf>
    <xf numFmtId="59" fontId="3" fillId="2" borderId="7" applyNumberFormat="1" applyFont="1" applyFill="1" applyBorder="1" applyAlignment="1" applyProtection="0">
      <alignment horizontal="center" vertical="bottom"/>
    </xf>
    <xf numFmtId="1" fontId="0" fillId="2" borderId="8" applyNumberFormat="1" applyFont="1" applyFill="1" applyBorder="1" applyAlignment="1" applyProtection="0">
      <alignment horizontal="center" vertical="bottom"/>
    </xf>
    <xf numFmtId="49" fontId="3" fillId="2" borderId="9" applyNumberFormat="1" applyFont="1" applyFill="1" applyBorder="1" applyAlignment="1" applyProtection="0">
      <alignment horizontal="center" vertical="bottom"/>
    </xf>
    <xf numFmtId="49" fontId="0" fillId="2" borderId="10" applyNumberFormat="1" applyFont="1" applyFill="1" applyBorder="1" applyAlignment="1" applyProtection="0">
      <alignment horizontal="left" vertical="bottom"/>
    </xf>
    <xf numFmtId="1" fontId="0" fillId="2" borderId="5" applyNumberFormat="1" applyFont="1" applyFill="1" applyBorder="1" applyAlignment="1" applyProtection="0">
      <alignment horizontal="left" vertical="bottom"/>
    </xf>
    <xf numFmtId="1" fontId="0" fillId="2" borderId="7" applyNumberFormat="1" applyFont="1" applyFill="1" applyBorder="1" applyAlignment="1" applyProtection="0">
      <alignment vertical="bottom"/>
    </xf>
    <xf numFmtId="1" fontId="3" fillId="2" borderId="7" applyNumberFormat="1" applyFont="1" applyFill="1" applyBorder="1" applyAlignment="1" applyProtection="0">
      <alignment horizontal="center" vertical="bottom"/>
    </xf>
    <xf numFmtId="49" fontId="0" fillId="2" borderId="8" applyNumberFormat="1" applyFont="1" applyFill="1" applyBorder="1" applyAlignment="1" applyProtection="0">
      <alignment horizontal="center" vertical="bottom"/>
    </xf>
    <xf numFmtId="49" fontId="3" fillId="2" borderId="11" applyNumberFormat="1" applyFont="1" applyFill="1" applyBorder="1" applyAlignment="1" applyProtection="0">
      <alignment horizontal="center" vertical="bottom"/>
    </xf>
    <xf numFmtId="49" fontId="0" fillId="2" borderId="10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horizontal="left" vertical="bottom"/>
    </xf>
    <xf numFmtId="1" fontId="0" fillId="2" borderId="12" applyNumberFormat="1" applyFont="1" applyFill="1" applyBorder="1" applyAlignment="1" applyProtection="0">
      <alignment vertical="bottom"/>
    </xf>
    <xf numFmtId="49" fontId="3" fillId="2" borderId="13" applyNumberFormat="1" applyFont="1" applyFill="1" applyBorder="1" applyAlignment="1" applyProtection="0">
      <alignment horizontal="right" vertical="bottom"/>
    </xf>
    <xf numFmtId="62" fontId="3" fillId="3" borderId="14" applyNumberFormat="1" applyFont="1" applyFill="1" applyBorder="1" applyAlignment="1" applyProtection="0">
      <alignment horizontal="center" vertical="bottom"/>
    </xf>
    <xf numFmtId="1" fontId="0" fillId="4" borderId="11" applyNumberFormat="1" applyFont="1" applyFill="1" applyBorder="1" applyAlignment="1" applyProtection="0">
      <alignment horizontal="center" vertical="bottom"/>
    </xf>
    <xf numFmtId="1" fontId="0" fillId="4" borderId="15" applyNumberFormat="1" applyFont="1" applyFill="1" applyBorder="1" applyAlignment="1" applyProtection="0">
      <alignment horizontal="center" vertical="bottom"/>
    </xf>
    <xf numFmtId="4" fontId="0" fillId="4" borderId="10" applyNumberFormat="1" applyFont="1" applyFill="1" applyBorder="1" applyAlignment="1" applyProtection="0">
      <alignment horizontal="center" vertical="bottom"/>
    </xf>
    <xf numFmtId="4" fontId="0" fillId="4" borderId="5" applyNumberFormat="1" applyFont="1" applyFill="1" applyBorder="1" applyAlignment="1" applyProtection="0">
      <alignment horizontal="center" vertical="bottom"/>
    </xf>
    <xf numFmtId="1" fontId="0" fillId="2" borderId="6" applyNumberFormat="1" applyFont="1" applyFill="1" applyBorder="1" applyAlignment="1" applyProtection="0">
      <alignment horizontal="center" vertical="bottom"/>
    </xf>
    <xf numFmtId="1" fontId="0" fillId="4" borderId="16" applyNumberFormat="1" applyFont="1" applyFill="1" applyBorder="1" applyAlignment="1" applyProtection="0">
      <alignment horizontal="center" vertical="bottom"/>
    </xf>
    <xf numFmtId="1" fontId="0" fillId="2" borderId="17" applyNumberFormat="1" applyFont="1" applyFill="1" applyBorder="1" applyAlignment="1" applyProtection="0">
      <alignment horizontal="right" vertical="bottom"/>
    </xf>
    <xf numFmtId="49" fontId="6" fillId="2" borderId="17" applyNumberFormat="1" applyFont="1" applyFill="1" applyBorder="1" applyAlignment="1" applyProtection="0">
      <alignment horizontal="center" vertical="bottom"/>
    </xf>
    <xf numFmtId="49" fontId="5" fillId="2" borderId="10" applyNumberFormat="1" applyFont="1" applyFill="1" applyBorder="1" applyAlignment="1" applyProtection="0">
      <alignment horizontal="center" vertical="bottom"/>
    </xf>
    <xf numFmtId="49" fontId="5" fillId="2" borderId="5" applyNumberFormat="1" applyFont="1" applyFill="1" applyBorder="1" applyAlignment="1" applyProtection="0">
      <alignment horizontal="center" vertical="bottom"/>
    </xf>
    <xf numFmtId="49" fontId="6" fillId="2" borderId="5" applyNumberFormat="1" applyFont="1" applyFill="1" applyBorder="1" applyAlignment="1" applyProtection="0">
      <alignment horizontal="center" vertical="center"/>
    </xf>
    <xf numFmtId="1" fontId="6" fillId="2" borderId="5" applyNumberFormat="1" applyFont="1" applyFill="1" applyBorder="1" applyAlignment="1" applyProtection="0">
      <alignment horizontal="center" vertical="center"/>
    </xf>
    <xf numFmtId="1" fontId="0" fillId="2" borderId="7" applyNumberFormat="1" applyFont="1" applyFill="1" applyBorder="1" applyAlignment="1" applyProtection="0">
      <alignment horizontal="right" vertical="bottom"/>
    </xf>
    <xf numFmtId="49" fontId="3" fillId="2" borderId="15" applyNumberFormat="1" applyFont="1" applyFill="1" applyBorder="1" applyAlignment="1" applyProtection="0">
      <alignment horizontal="center" vertical="bottom"/>
    </xf>
    <xf numFmtId="49" fontId="0" fillId="5" borderId="5" applyNumberFormat="1" applyFont="1" applyFill="1" applyBorder="1" applyAlignment="1" applyProtection="0">
      <alignment horizontal="center" vertical="center"/>
    </xf>
    <xf numFmtId="1" fontId="0" fillId="5" borderId="5" applyNumberFormat="1" applyFont="1" applyFill="1" applyBorder="1" applyAlignment="1" applyProtection="0">
      <alignment horizontal="center" vertical="center"/>
    </xf>
    <xf numFmtId="1" fontId="3" fillId="3" borderId="14" applyNumberFormat="1" applyFont="1" applyFill="1" applyBorder="1" applyAlignment="1" applyProtection="0">
      <alignment horizontal="center" vertical="bottom"/>
    </xf>
    <xf numFmtId="1" fontId="0" fillId="2" borderId="10" applyNumberFormat="1" applyFont="1" applyFill="1" applyBorder="1" applyAlignment="1" applyProtection="0">
      <alignment horizontal="left" vertical="bottom"/>
    </xf>
    <xf numFmtId="1" fontId="7" fillId="2" borderId="5" applyNumberFormat="1" applyFont="1" applyFill="1" applyBorder="1" applyAlignment="1" applyProtection="0">
      <alignment horizontal="left" vertical="bottom"/>
    </xf>
    <xf numFmtId="49" fontId="0" fillId="5" borderId="5" applyNumberFormat="1" applyFont="1" applyFill="1" applyBorder="1" applyAlignment="1" applyProtection="0">
      <alignment horizontal="right" vertical="bottom"/>
    </xf>
    <xf numFmtId="49" fontId="0" fillId="5" borderId="5" applyNumberFormat="1" applyFont="1" applyFill="1" applyBorder="1" applyAlignment="1" applyProtection="0">
      <alignment horizontal="left" vertical="bottom"/>
    </xf>
    <xf numFmtId="60" fontId="0" fillId="3" borderId="5" applyNumberFormat="1" applyFont="1" applyFill="1" applyBorder="1" applyAlignment="1" applyProtection="0">
      <alignment horizontal="right" vertical="bottom"/>
    </xf>
    <xf numFmtId="49" fontId="0" fillId="3" borderId="5" applyNumberFormat="1" applyFont="1" applyFill="1" applyBorder="1" applyAlignment="1" applyProtection="0">
      <alignment vertical="bottom"/>
    </xf>
    <xf numFmtId="1" fontId="0" fillId="2" borderId="6" applyNumberFormat="1" applyFont="1" applyFill="1" applyBorder="1" applyAlignment="1" applyProtection="0">
      <alignment vertical="bottom"/>
    </xf>
    <xf numFmtId="1" fontId="0" fillId="2" borderId="5" applyNumberFormat="1" applyFont="1" applyFill="1" applyBorder="1" applyAlignment="1" applyProtection="0">
      <alignment horizontal="right" vertical="bottom"/>
    </xf>
    <xf numFmtId="1" fontId="8" fillId="2" borderId="5" applyNumberFormat="1" applyFont="1" applyFill="1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bottom"/>
    </xf>
    <xf numFmtId="1" fontId="0" fillId="2" borderId="7" applyNumberFormat="1" applyFont="1" applyFill="1" applyBorder="1" applyAlignment="1" applyProtection="0">
      <alignment horizontal="center" vertical="bottom"/>
    </xf>
    <xf numFmtId="2" fontId="0" fillId="4" borderId="14" applyNumberFormat="1" applyFont="1" applyFill="1" applyBorder="1" applyAlignment="1" applyProtection="0">
      <alignment horizontal="center" vertical="bottom"/>
    </xf>
    <xf numFmtId="2" fontId="0" fillId="3" borderId="5" applyNumberFormat="1" applyFont="1" applyFill="1" applyBorder="1" applyAlignment="1" applyProtection="0">
      <alignment horizontal="center" vertical="bottom"/>
    </xf>
    <xf numFmtId="1" fontId="0" fillId="2" borderId="6" applyNumberFormat="1" applyFont="1" applyFill="1" applyBorder="1" applyAlignment="1" applyProtection="0">
      <alignment horizontal="left" vertical="bottom"/>
    </xf>
    <xf numFmtId="1" fontId="0" fillId="2" borderId="4" applyNumberFormat="1" applyFont="1" applyFill="1" applyBorder="1" applyAlignment="1" applyProtection="0">
      <alignment horizontal="left" vertical="bottom"/>
    </xf>
    <xf numFmtId="1" fontId="9" fillId="2" borderId="17" applyNumberFormat="1" applyFont="1" applyFill="1" applyBorder="1" applyAlignment="1" applyProtection="0">
      <alignment horizontal="center" vertical="top"/>
    </xf>
    <xf numFmtId="49" fontId="0" fillId="2" borderId="5" applyNumberFormat="1" applyFont="1" applyFill="1" applyBorder="1" applyAlignment="1" applyProtection="0">
      <alignment horizontal="right" vertical="bottom"/>
    </xf>
    <xf numFmtId="49" fontId="9" fillId="2" borderId="5" applyNumberFormat="1" applyFont="1" applyFill="1" applyBorder="1" applyAlignment="1" applyProtection="0">
      <alignment horizontal="center" vertical="top"/>
    </xf>
    <xf numFmtId="1" fontId="9" fillId="2" borderId="5" applyNumberFormat="1" applyFont="1" applyFill="1" applyBorder="1" applyAlignment="1" applyProtection="0">
      <alignment horizontal="center" vertical="top"/>
    </xf>
    <xf numFmtId="60" fontId="0" fillId="3" borderId="5" applyNumberFormat="1" applyFont="1" applyFill="1" applyBorder="1" applyAlignment="1" applyProtection="0">
      <alignment horizontal="center" vertical="bottom"/>
    </xf>
    <xf numFmtId="49" fontId="0" fillId="2" borderId="5" applyNumberFormat="1" applyFont="1" applyFill="1" applyBorder="1" applyAlignment="1" applyProtection="0">
      <alignment vertical="bottom"/>
    </xf>
    <xf numFmtId="1" fontId="0" fillId="2" borderId="6" applyNumberFormat="1" applyFont="1" applyFill="1" applyBorder="1" applyAlignment="1" applyProtection="0">
      <alignment horizontal="right" vertical="bottom"/>
    </xf>
    <xf numFmtId="1" fontId="0" fillId="2" borderId="18" applyNumberFormat="1" applyFont="1" applyFill="1" applyBorder="1" applyAlignment="1" applyProtection="0">
      <alignment vertical="bottom"/>
    </xf>
    <xf numFmtId="1" fontId="0" fillId="2" borderId="19" applyNumberFormat="1" applyFont="1" applyFill="1" applyBorder="1" applyAlignment="1" applyProtection="0">
      <alignment vertical="bottom"/>
    </xf>
    <xf numFmtId="1" fontId="0" fillId="2" borderId="20" applyNumberFormat="1" applyFont="1" applyFill="1" applyBorder="1" applyAlignment="1" applyProtection="0">
      <alignment vertical="bottom"/>
    </xf>
  </cellXfs>
  <cellStyles count="1">
    <cellStyle name="Normal" xfId="0" builtinId="0"/>
  </cellStyles>
  <dxfs count="2">
    <dxf>
      <font>
        <b val="1"/>
        <color rgb="ffffffff"/>
      </font>
      <fill>
        <patternFill patternType="solid">
          <fgColor indexed="13"/>
          <bgColor indexed="14"/>
        </patternFill>
      </fill>
    </dxf>
    <dxf>
      <font>
        <b val="1"/>
        <color rgb="ffffffff"/>
      </font>
      <fill>
        <patternFill patternType="solid">
          <fgColor indexed="13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aaaaaa"/>
      <rgbColor rgb="ffffcc99"/>
      <rgbColor rgb="ffccffcc"/>
      <rgbColor rgb="00000000"/>
      <rgbColor rgb="ffcc0000"/>
      <rgbColor rgb="ffffffff"/>
      <rgbColor rgb="ffc90016"/>
      <rgbColor rgb="ff999999"/>
      <rgbColor rgb="ffce181e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2"/>
  <sheetViews>
    <sheetView workbookViewId="0" showGridLines="0" defaultGridColor="1"/>
  </sheetViews>
  <sheetFormatPr defaultColWidth="8.83333" defaultRowHeight="12.75" customHeight="1" outlineLevelRow="0" outlineLevelCol="0"/>
  <cols>
    <col min="1" max="1" width="9" style="1" customWidth="1"/>
    <col min="2" max="2" width="29" style="1" customWidth="1"/>
    <col min="3" max="3" width="20.8516" style="1" customWidth="1"/>
    <col min="4" max="4" width="13.6719" style="1" customWidth="1"/>
    <col min="5" max="5" width="15.3516" style="1" customWidth="1"/>
    <col min="6" max="6" width="16.3516" style="1" customWidth="1"/>
    <col min="7" max="7" width="13.6719" style="1" customWidth="1"/>
    <col min="8" max="8" width="12.3516" style="1" customWidth="1"/>
    <col min="9" max="9" width="12.5" style="1" customWidth="1"/>
    <col min="10" max="10" width="3.85156" style="1" customWidth="1"/>
    <col min="11" max="16384" width="8.85156" style="1" customWidth="1"/>
  </cols>
  <sheetData>
    <row r="1" ht="18.5" customHeight="1">
      <c r="A1" s="2"/>
      <c r="B1" s="3"/>
      <c r="C1" s="4"/>
      <c r="D1" t="s" s="5">
        <v>0</v>
      </c>
      <c r="E1" s="6"/>
      <c r="F1" s="7"/>
      <c r="G1" s="8"/>
      <c r="H1" s="7"/>
      <c r="I1" t="s" s="9">
        <v>1</v>
      </c>
      <c r="J1" s="10"/>
    </row>
    <row r="2" ht="9.75" customHeight="1">
      <c r="A2" s="11"/>
      <c r="B2" s="12"/>
      <c r="C2" s="13"/>
      <c r="D2" s="14"/>
      <c r="E2" s="15"/>
      <c r="F2" s="16"/>
      <c r="G2" s="17"/>
      <c r="H2" s="16"/>
      <c r="I2" s="16"/>
      <c r="J2" s="18"/>
    </row>
    <row r="3" ht="13.65" customHeight="1">
      <c r="A3" s="11"/>
      <c r="B3" t="s" s="19">
        <v>2</v>
      </c>
      <c r="C3" s="13"/>
      <c r="D3" s="20"/>
      <c r="E3" s="15"/>
      <c r="F3" s="16"/>
      <c r="G3" s="17"/>
      <c r="H3" s="16"/>
      <c r="I3" s="16"/>
      <c r="J3" s="18"/>
    </row>
    <row r="4" ht="13.65" customHeight="1">
      <c r="A4" s="11"/>
      <c r="B4" t="s" s="21">
        <v>3</v>
      </c>
      <c r="C4" s="20"/>
      <c r="D4" s="20"/>
      <c r="E4" s="20"/>
      <c r="F4" s="20"/>
      <c r="G4" s="20"/>
      <c r="H4" s="20"/>
      <c r="I4" s="20"/>
      <c r="J4" s="18"/>
    </row>
    <row r="5" ht="13.65" customHeight="1">
      <c r="A5" s="11"/>
      <c r="B5" s="12"/>
      <c r="C5" s="13"/>
      <c r="D5" s="20"/>
      <c r="E5" s="15"/>
      <c r="F5" s="16"/>
      <c r="G5" s="17"/>
      <c r="H5" s="16"/>
      <c r="I5" s="16"/>
      <c r="J5" s="18"/>
    </row>
    <row r="6" ht="13.65" customHeight="1">
      <c r="A6" s="11"/>
      <c r="B6" t="s" s="22">
        <v>4</v>
      </c>
      <c r="C6" s="13"/>
      <c r="D6" s="12"/>
      <c r="E6" s="23"/>
      <c r="F6" s="12"/>
      <c r="G6" s="17"/>
      <c r="H6" s="16"/>
      <c r="I6" s="16"/>
      <c r="J6" s="18"/>
    </row>
    <row r="7" ht="13.65" customHeight="1">
      <c r="A7" s="11"/>
      <c r="B7" t="s" s="22">
        <v>5</v>
      </c>
      <c r="C7" s="13"/>
      <c r="D7" s="24"/>
      <c r="E7" t="s" s="25">
        <v>6</v>
      </c>
      <c r="F7" t="s" s="26">
        <v>7</v>
      </c>
      <c r="G7" s="17"/>
      <c r="H7" s="27"/>
      <c r="I7" s="16"/>
      <c r="J7" s="18"/>
    </row>
    <row r="8" ht="13.65" customHeight="1">
      <c r="A8" s="11"/>
      <c r="B8" s="28"/>
      <c r="C8" s="29"/>
      <c r="D8" t="s" s="30">
        <v>8</v>
      </c>
      <c r="E8" t="s" s="31">
        <v>9</v>
      </c>
      <c r="F8" t="s" s="32">
        <v>10</v>
      </c>
      <c r="G8" t="s" s="33">
        <v>11</v>
      </c>
      <c r="H8" s="16"/>
      <c r="I8" s="16"/>
      <c r="J8" s="18"/>
    </row>
    <row r="9" ht="13.65" customHeight="1">
      <c r="A9" s="34"/>
      <c r="B9" t="s" s="35">
        <v>12</v>
      </c>
      <c r="C9" s="36">
        <f>(D9*E9*F9*G9)/360</f>
        <v>8888.888888888891</v>
      </c>
      <c r="D9" s="37">
        <v>200</v>
      </c>
      <c r="E9" s="38">
        <v>32</v>
      </c>
      <c r="F9" s="39">
        <v>50</v>
      </c>
      <c r="G9" s="40">
        <v>10</v>
      </c>
      <c r="H9" s="20"/>
      <c r="I9" s="20"/>
      <c r="J9" s="41"/>
    </row>
    <row r="10" ht="13.65" customHeight="1">
      <c r="A10" s="34"/>
      <c r="B10" t="s" s="35">
        <v>13</v>
      </c>
      <c r="C10" s="36">
        <f>(D10*E10*F10*G10)/360</f>
        <v>8888.888888888891</v>
      </c>
      <c r="D10" s="37">
        <v>200</v>
      </c>
      <c r="E10" s="42">
        <v>32</v>
      </c>
      <c r="F10" s="39">
        <v>50</v>
      </c>
      <c r="G10" s="40">
        <v>10</v>
      </c>
      <c r="H10" s="20"/>
      <c r="I10" s="20"/>
      <c r="J10" s="41"/>
    </row>
    <row r="11" ht="13.65" customHeight="1">
      <c r="A11" s="11"/>
      <c r="B11" s="43"/>
      <c r="C11" t="s" s="44">
        <v>14</v>
      </c>
      <c r="D11" s="24"/>
      <c r="E11" t="s" s="25">
        <v>15</v>
      </c>
      <c r="F11" t="s" s="45">
        <v>16</v>
      </c>
      <c r="G11" t="s" s="46">
        <v>17</v>
      </c>
      <c r="H11" t="s" s="47">
        <v>18</v>
      </c>
      <c r="I11" s="48"/>
      <c r="J11" s="41"/>
    </row>
    <row r="12" ht="13.65" customHeight="1">
      <c r="A12" s="11"/>
      <c r="B12" s="49"/>
      <c r="C12" s="29"/>
      <c r="D12" s="24"/>
      <c r="E12" t="s" s="50">
        <v>9</v>
      </c>
      <c r="F12" t="s" s="45">
        <v>19</v>
      </c>
      <c r="G12" t="s" s="46">
        <v>20</v>
      </c>
      <c r="H12" t="s" s="51">
        <v>21</v>
      </c>
      <c r="I12" s="52"/>
      <c r="J12" s="41"/>
    </row>
    <row r="13" ht="13.65" customHeight="1">
      <c r="A13" s="34"/>
      <c r="B13" t="s" s="35">
        <v>22</v>
      </c>
      <c r="C13" s="53">
        <f>D9*E9*F9</f>
        <v>320000</v>
      </c>
      <c r="D13" s="54"/>
      <c r="E13" t="s" s="44">
        <v>23</v>
      </c>
      <c r="F13" t="s" s="46">
        <v>24</v>
      </c>
      <c r="G13" s="55"/>
      <c r="H13" t="s" s="56">
        <v>25</v>
      </c>
      <c r="I13" t="s" s="57">
        <v>26</v>
      </c>
      <c r="J13" s="41"/>
    </row>
    <row r="14" ht="13.65" customHeight="1">
      <c r="A14" s="11"/>
      <c r="B14" s="43"/>
      <c r="C14" s="43"/>
      <c r="D14" s="27"/>
      <c r="E14" s="27"/>
      <c r="F14" s="20"/>
      <c r="G14" s="20"/>
      <c r="H14" s="58">
        <f>((1/((((1/$C$18)*1000000)/$C$9)/1000000)/$E$9)/$D$9)*60</f>
        <v>416.666666666667</v>
      </c>
      <c r="I14" t="s" s="59">
        <v>27</v>
      </c>
      <c r="J14" s="60"/>
    </row>
    <row r="15" ht="13.65" customHeight="1">
      <c r="A15" s="11"/>
      <c r="B15" s="61"/>
      <c r="C15" s="27"/>
      <c r="D15" s="27"/>
      <c r="E15" s="27"/>
      <c r="F15" s="15"/>
      <c r="G15" s="20"/>
      <c r="H15" s="58">
        <f>H14/60</f>
        <v>6.94444444444445</v>
      </c>
      <c r="I15" t="s" s="59">
        <v>28</v>
      </c>
      <c r="J15" s="60"/>
    </row>
    <row r="16" ht="13.65" customHeight="1">
      <c r="A16" s="11"/>
      <c r="B16" s="61"/>
      <c r="C16" s="20"/>
      <c r="D16" s="62"/>
      <c r="E16" t="s" s="63">
        <v>29</v>
      </c>
      <c r="F16" s="13"/>
      <c r="G16" s="20"/>
      <c r="H16" s="58">
        <f>H15*$D$9/1000</f>
        <v>1.38888888888889</v>
      </c>
      <c r="I16" t="s" s="59">
        <v>30</v>
      </c>
      <c r="J16" s="60"/>
    </row>
    <row r="17" ht="13.65" customHeight="1">
      <c r="A17" s="11"/>
      <c r="B17" s="49"/>
      <c r="C17" s="64"/>
      <c r="D17" s="27"/>
      <c r="E17" t="s" s="21">
        <v>31</v>
      </c>
      <c r="F17" t="s" s="21">
        <v>32</v>
      </c>
      <c r="G17" s="20"/>
      <c r="H17" t="s" s="56">
        <v>33</v>
      </c>
      <c r="I17" t="s" s="57">
        <v>34</v>
      </c>
      <c r="J17" s="41"/>
    </row>
    <row r="18" ht="13.65" customHeight="1">
      <c r="A18" s="34"/>
      <c r="B18" t="s" s="35">
        <v>35</v>
      </c>
      <c r="C18" s="65">
        <v>5</v>
      </c>
      <c r="D18" t="s" s="26">
        <v>36</v>
      </c>
      <c r="E18" s="66">
        <f>3600/(($D$9*($E$9)*$F$9*$G$9)/360)</f>
        <v>0.405</v>
      </c>
      <c r="F18" s="66">
        <f>IF($D$9&lt;100,3600/(($D$9*(1/((1.2*$E$9^-0.4)+0.045))*$F$9*$G$9)/360),3600/(($D$9*(1/((1.25*$E$9^-1.2)+0.045))*$F$9*$G$9)/360))</f>
        <v>0.836325</v>
      </c>
      <c r="G18" t="s" s="33">
        <v>37</v>
      </c>
      <c r="H18" s="58">
        <f>((1/((((1/$C$18)*1000000)/$C$10)/1000000)/$E$10)/$D$10)*60</f>
        <v>416.666666666667</v>
      </c>
      <c r="I18" t="s" s="59">
        <v>27</v>
      </c>
      <c r="J18" s="67"/>
    </row>
    <row r="19" ht="14.85" customHeight="1">
      <c r="A19" s="68"/>
      <c r="B19" s="43"/>
      <c r="C19" s="69"/>
      <c r="D19" t="s" s="70">
        <v>38</v>
      </c>
      <c r="E19" s="66">
        <f>3600/(($D$10*($E$10)*$F$10*$G$10)/360)</f>
        <v>0.405</v>
      </c>
      <c r="F19" s="66">
        <f>IF($D$10&lt;100,3600/(($D$10*(1/((1.2*$E$10^-0.4)+0.045))*$F$10*$G$10)/360),3600/(($D$10*(1/((1.25*$E$10^-1.2)+0.045))*$F$10*$G$10)/360))</f>
        <v>0.836325</v>
      </c>
      <c r="G19" t="s" s="33">
        <v>37</v>
      </c>
      <c r="H19" s="58">
        <f>H18/60</f>
        <v>6.94444444444445</v>
      </c>
      <c r="I19" t="s" s="59">
        <v>28</v>
      </c>
      <c r="J19" s="60"/>
    </row>
    <row r="20" ht="14.85" customHeight="1">
      <c r="A20" s="68"/>
      <c r="B20" s="61"/>
      <c r="C20" t="s" s="71">
        <v>39</v>
      </c>
      <c r="D20" s="27"/>
      <c r="E20" t="s" s="21">
        <v>40</v>
      </c>
      <c r="F20" t="s" s="21">
        <v>41</v>
      </c>
      <c r="G20" s="12"/>
      <c r="H20" s="58">
        <f>H19*$D$10/1000</f>
        <v>1.38888888888889</v>
      </c>
      <c r="I20" t="s" s="59">
        <v>30</v>
      </c>
      <c r="J20" s="60"/>
    </row>
    <row r="21" ht="14.85" customHeight="1">
      <c r="A21" s="68"/>
      <c r="B21" s="61"/>
      <c r="C21" s="72"/>
      <c r="D21" s="27"/>
      <c r="E21" s="20"/>
      <c r="F21" s="20"/>
      <c r="G21" s="12"/>
      <c r="H21" s="20"/>
      <c r="I21" s="20"/>
      <c r="J21" s="60"/>
    </row>
    <row r="22" ht="13.65" customHeight="1">
      <c r="A22" s="68"/>
      <c r="B22" t="s" s="70">
        <v>42</v>
      </c>
      <c r="C22" s="73">
        <f>((((1/$C$18)*1000000)/$C$10)+(((1/$C$18)*1000000)/$C$9))</f>
        <v>45</v>
      </c>
      <c r="D22" t="s" s="33">
        <f>"µs/step →  "&amp;ROUND($C$18/2,1)&amp;"°/s slew rate"</f>
        <v>43</v>
      </c>
      <c r="E22" s="12"/>
      <c r="F22" s="20"/>
      <c r="G22" s="12"/>
      <c r="H22" s="20"/>
      <c r="I22" s="20"/>
      <c r="J22" s="60"/>
    </row>
    <row r="23" ht="13.65" customHeight="1">
      <c r="A23" s="68"/>
      <c r="B23" t="s" s="70">
        <v>44</v>
      </c>
      <c r="C23" s="73">
        <f>((((1/$C$18)*1000000)/$C$10)+(((1/$C$18)*1000000)/$C$9))/4</f>
        <v>11.25</v>
      </c>
      <c r="D23" t="s" s="33">
        <f>"µs/step →  "&amp;ROUND($C$18*2,1)&amp;"°/s slew rate"</f>
        <v>45</v>
      </c>
      <c r="E23" s="12"/>
      <c r="F23" s="12"/>
      <c r="G23" s="61"/>
      <c r="H23" s="20"/>
      <c r="I23" s="20"/>
      <c r="J23" s="41"/>
    </row>
    <row r="24" ht="13.65" customHeight="1">
      <c r="A24" s="68"/>
      <c r="B24" s="61"/>
      <c r="C24" s="12"/>
      <c r="D24" s="27"/>
      <c r="E24" s="12"/>
      <c r="F24" s="12"/>
      <c r="G24" s="61"/>
      <c r="H24" s="20"/>
      <c r="I24" s="20"/>
      <c r="J24" s="41"/>
    </row>
    <row r="25" ht="13.65" customHeight="1">
      <c r="A25" s="11"/>
      <c r="B25" t="s" s="33">
        <v>46</v>
      </c>
      <c r="C25" s="27"/>
      <c r="D25" t="s" s="74">
        <v>47</v>
      </c>
      <c r="E25" s="12"/>
      <c r="F25" s="20"/>
      <c r="G25" s="61"/>
      <c r="H25" s="61"/>
      <c r="I25" s="61"/>
      <c r="J25" s="41"/>
    </row>
    <row r="26" ht="13.65" customHeight="1">
      <c r="A26" s="68"/>
      <c r="B26" t="s" s="33">
        <v>48</v>
      </c>
      <c r="C26" s="27"/>
      <c r="D26" t="s" s="33">
        <v>49</v>
      </c>
      <c r="E26" s="12"/>
      <c r="F26" s="12"/>
      <c r="G26" s="61"/>
      <c r="H26" s="61"/>
      <c r="I26" s="61"/>
      <c r="J26" s="60"/>
    </row>
    <row r="27" ht="13.65" customHeight="1">
      <c r="A27" s="11"/>
      <c r="B27" t="s" s="33">
        <v>50</v>
      </c>
      <c r="C27" s="27"/>
      <c r="D27" t="s" s="74">
        <v>51</v>
      </c>
      <c r="E27" s="12"/>
      <c r="F27" s="12"/>
      <c r="G27" s="12"/>
      <c r="H27" s="61"/>
      <c r="I27" s="61"/>
      <c r="J27" s="75"/>
    </row>
    <row r="28" ht="13.65" customHeight="1">
      <c r="A28" s="11"/>
      <c r="B28" t="s" s="33">
        <v>52</v>
      </c>
      <c r="C28" s="27"/>
      <c r="D28" t="s" s="33">
        <v>53</v>
      </c>
      <c r="E28" s="12"/>
      <c r="F28" s="12"/>
      <c r="G28" s="12"/>
      <c r="H28" s="12"/>
      <c r="I28" s="12"/>
      <c r="J28" s="75"/>
    </row>
    <row r="29" ht="13.65" customHeight="1">
      <c r="A29" s="11"/>
      <c r="B29" s="27"/>
      <c r="C29" s="27"/>
      <c r="D29" t="s" s="33">
        <v>54</v>
      </c>
      <c r="E29" s="12"/>
      <c r="F29" s="12"/>
      <c r="G29" s="12"/>
      <c r="H29" s="12"/>
      <c r="I29" s="12"/>
      <c r="J29" s="75"/>
    </row>
    <row r="30" ht="13.65" customHeight="1">
      <c r="A30" s="11"/>
      <c r="B30" s="27"/>
      <c r="C30" s="27"/>
      <c r="D30" t="s" s="33">
        <v>55</v>
      </c>
      <c r="E30" s="12"/>
      <c r="F30" s="12"/>
      <c r="G30" s="12"/>
      <c r="H30" s="12"/>
      <c r="I30" s="12"/>
      <c r="J30" s="75"/>
    </row>
    <row r="31" ht="13.65" customHeight="1">
      <c r="A31" s="11"/>
      <c r="B31" s="27"/>
      <c r="C31" s="27"/>
      <c r="D31" t="s" s="22">
        <v>56</v>
      </c>
      <c r="E31" s="12"/>
      <c r="F31" s="12"/>
      <c r="G31" s="12"/>
      <c r="H31" s="12"/>
      <c r="I31" s="12"/>
      <c r="J31" s="75"/>
    </row>
    <row r="32" ht="13.65" customHeight="1">
      <c r="A32" s="76"/>
      <c r="B32" s="77"/>
      <c r="C32" s="77"/>
      <c r="D32" s="77"/>
      <c r="E32" s="77"/>
      <c r="F32" s="77"/>
      <c r="G32" s="77"/>
      <c r="H32" s="77"/>
      <c r="I32" s="77"/>
      <c r="J32" s="78"/>
    </row>
  </sheetData>
  <mergeCells count="3">
    <mergeCell ref="B4:I4"/>
    <mergeCell ref="H11:I11"/>
    <mergeCell ref="H12:I12"/>
  </mergeCells>
  <conditionalFormatting sqref="E9:E10">
    <cfRule type="cellIs" dxfId="0" priority="1" operator="lessThan" stopIfTrue="1">
      <formula>16</formula>
    </cfRule>
    <cfRule type="cellIs" dxfId="1" priority="2" operator="greaterThan" stopIfTrue="1">
      <formula>64</formula>
    </cfRule>
  </conditionalFormatting>
  <pageMargins left="0.747917" right="0.747917" top="0.984028" bottom="0.984028" header="0.511806" footer="0.511806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